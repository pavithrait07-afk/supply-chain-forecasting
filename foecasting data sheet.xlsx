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4af1f0e4f6acca/Documents/"/>
    </mc:Choice>
  </mc:AlternateContent>
  <xr:revisionPtr revIDLastSave="0" documentId="8_{CF07785A-2F38-44CB-930B-91A5E4B00E9C}" xr6:coauthVersionLast="47" xr6:coauthVersionMax="47" xr10:uidLastSave="{00000000-0000-0000-0000-000000000000}"/>
  <bookViews>
    <workbookView xWindow="-108" yWindow="-108" windowWidth="23256" windowHeight="13896" xr2:uid="{BF7E029F-4328-4C13-A9C4-B0070E41623D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C9" i="2"/>
  <c r="B8" i="1"/>
  <c r="D8" i="2" l="1"/>
  <c r="E8" i="2"/>
  <c r="D9" i="2"/>
  <c r="E9" i="2"/>
</calcChain>
</file>

<file path=xl/sharedStrings.xml><?xml version="1.0" encoding="utf-8"?>
<sst xmlns="http://schemas.openxmlformats.org/spreadsheetml/2006/main" count="7" uniqueCount="5">
  <si>
    <t>month</t>
  </si>
  <si>
    <t>sales</t>
  </si>
  <si>
    <t>Forecast(sales)</t>
  </si>
  <si>
    <t>Lower Confidence Bound(sales)</t>
  </si>
  <si>
    <t>Upper Confidence Bound(sales)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</si>
</sst>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Sheet2!$B$2:$B$9</c:f>
              <c:numCache>
                <c:formatCode>General</c:formatCode>
                <c:ptCount val="8"/>
                <c:pt idx="0">
                  <c:v>120</c:v>
                </c:pt>
                <c:pt idx="1">
                  <c:v>200</c:v>
                </c:pt>
                <c:pt idx="2">
                  <c:v>250</c:v>
                </c:pt>
                <c:pt idx="3">
                  <c:v>220</c:v>
                </c:pt>
                <c:pt idx="4">
                  <c:v>310</c:v>
                </c:pt>
                <c:pt idx="5">
                  <c:v>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03-4822-B0AC-28645A80A1D0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Forecast(sales)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Sheet2!$A$2:$A$9</c:f>
              <c:numCache>
                <c:formatCode>m/d/yyyy</c:formatCode>
                <c:ptCount val="8"/>
                <c:pt idx="0">
                  <c:v>45293</c:v>
                </c:pt>
                <c:pt idx="1">
                  <c:v>45316</c:v>
                </c:pt>
                <c:pt idx="2">
                  <c:v>45343</c:v>
                </c:pt>
                <c:pt idx="3">
                  <c:v>45374</c:v>
                </c:pt>
                <c:pt idx="4">
                  <c:v>45398</c:v>
                </c:pt>
                <c:pt idx="5">
                  <c:v>45429</c:v>
                </c:pt>
                <c:pt idx="6">
                  <c:v>45453.777777777781</c:v>
                </c:pt>
                <c:pt idx="7">
                  <c:v>45478.555555555555</c:v>
                </c:pt>
              </c:numCache>
            </c:numRef>
          </c:cat>
          <c:val>
            <c:numRef>
              <c:f>Sheet2!$C$2:$C$9</c:f>
              <c:numCache>
                <c:formatCode>General</c:formatCode>
                <c:ptCount val="8"/>
                <c:pt idx="5">
                  <c:v>350</c:v>
                </c:pt>
                <c:pt idx="6">
                  <c:v>377.27128715530057</c:v>
                </c:pt>
                <c:pt idx="7">
                  <c:v>416.84118071802953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03-4822-B0AC-28645A80A1D0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Lower Confidence Bound(sales)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Sheet2!$A$2:$A$9</c:f>
              <c:numCache>
                <c:formatCode>m/d/yyyy</c:formatCode>
                <c:ptCount val="8"/>
                <c:pt idx="0">
                  <c:v>45293</c:v>
                </c:pt>
                <c:pt idx="1">
                  <c:v>45316</c:v>
                </c:pt>
                <c:pt idx="2">
                  <c:v>45343</c:v>
                </c:pt>
                <c:pt idx="3">
                  <c:v>45374</c:v>
                </c:pt>
                <c:pt idx="4">
                  <c:v>45398</c:v>
                </c:pt>
                <c:pt idx="5">
                  <c:v>45429</c:v>
                </c:pt>
                <c:pt idx="6">
                  <c:v>45453.777777777781</c:v>
                </c:pt>
                <c:pt idx="7">
                  <c:v>45478.555555555555</c:v>
                </c:pt>
              </c:numCache>
            </c:numRef>
          </c:cat>
          <c:val>
            <c:numRef>
              <c:f>Sheet2!$D$2:$D$9</c:f>
              <c:numCache>
                <c:formatCode>General</c:formatCode>
                <c:ptCount val="8"/>
                <c:pt idx="5" formatCode="0.00">
                  <c:v>350</c:v>
                </c:pt>
                <c:pt idx="6" formatCode="0.00">
                  <c:v>317.67770948619608</c:v>
                </c:pt>
                <c:pt idx="7" formatCode="0.00">
                  <c:v>355.39904611757385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03-4822-B0AC-28645A80A1D0}"/>
            </c:ext>
          </c:extLst>
        </c:ser>
        <c:ser>
          <c:idx val="3"/>
          <c:order val="3"/>
          <c:tx>
            <c:strRef>
              <c:f>Sheet2!$E$1</c:f>
              <c:strCache>
                <c:ptCount val="1"/>
                <c:pt idx="0">
                  <c:v>Upper Confidence Bound(sales)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Sheet2!$A$2:$A$9</c:f>
              <c:numCache>
                <c:formatCode>m/d/yyyy</c:formatCode>
                <c:ptCount val="8"/>
                <c:pt idx="0">
                  <c:v>45293</c:v>
                </c:pt>
                <c:pt idx="1">
                  <c:v>45316</c:v>
                </c:pt>
                <c:pt idx="2">
                  <c:v>45343</c:v>
                </c:pt>
                <c:pt idx="3">
                  <c:v>45374</c:v>
                </c:pt>
                <c:pt idx="4">
                  <c:v>45398</c:v>
                </c:pt>
                <c:pt idx="5">
                  <c:v>45429</c:v>
                </c:pt>
                <c:pt idx="6">
                  <c:v>45453.777777777781</c:v>
                </c:pt>
                <c:pt idx="7">
                  <c:v>45478.555555555555</c:v>
                </c:pt>
              </c:numCache>
            </c:numRef>
          </c:cat>
          <c:val>
            <c:numRef>
              <c:f>Sheet2!$E$2:$E$9</c:f>
              <c:numCache>
                <c:formatCode>General</c:formatCode>
                <c:ptCount val="8"/>
                <c:pt idx="5" formatCode="0.00">
                  <c:v>350</c:v>
                </c:pt>
                <c:pt idx="6" formatCode="0.00">
                  <c:v>436.86486482440506</c:v>
                </c:pt>
                <c:pt idx="7" formatCode="0.00">
                  <c:v>478.28331531848522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03-4822-B0AC-28645A80A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808159"/>
        <c:axId val="52145167"/>
      </c:lineChart>
      <c:catAx>
        <c:axId val="5580815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45167"/>
        <c:crosses val="autoZero"/>
        <c:auto val="1"/>
        <c:lblAlgn val="ctr"/>
        <c:lblOffset val="100"/>
        <c:noMultiLvlLbl val="0"/>
      </c:catAx>
      <c:valAx>
        <c:axId val="5214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0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8</xdr:row>
      <xdr:rowOff>133350</xdr:rowOff>
    </xdr:from>
    <xdr:to>
      <xdr:col>15</xdr:col>
      <xdr:colOff>1905</xdr:colOff>
      <xdr:row>28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7F190D-5DF2-BD42-52BA-E7E8A584A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1C67FD-A521-4F6F-852C-EEC42C3F7163}" name="Table1" displayName="Table1" ref="A1:E9" totalsRowShown="0">
  <autoFilter ref="A1:E9" xr:uid="{D01C67FD-A521-4F6F-852C-EEC42C3F7163}"/>
  <tableColumns count="5">
    <tableColumn id="1" xr3:uid="{CCAF8CC7-73E0-4BE3-AACF-1C8AE57750D8}" name="month" dataDxfId="2"/>
    <tableColumn id="2" xr3:uid="{835049A7-BE3E-4323-A3FA-AB1A43B88C8D}" name="sales"/>
    <tableColumn id="3" xr3:uid="{398B25D7-F92A-4FD0-A9B8-BFDB6E021FAC}" name="Forecast(sales)"/>
    <tableColumn id="4" xr3:uid="{A63680A3-C162-4B55-9A99-68EAB67BBF79}" name="Lower Confidence Bound(sales)" dataDxfId="1"/>
    <tableColumn id="5" xr3:uid="{8E7F87F2-5F66-44D2-BDE3-462281CD1767}" name="Upper Confidence Bound(sales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26974-1EC6-4E5F-8EA6-1C50BB0A06E6}">
  <dimension ref="A1:E9"/>
  <sheetViews>
    <sheetView tabSelected="1" workbookViewId="0"/>
  </sheetViews>
  <sheetFormatPr defaultRowHeight="14.4" x14ac:dyDescent="0.3"/>
  <cols>
    <col min="1" max="1" width="10.33203125" bestFit="1" customWidth="1"/>
    <col min="2" max="2" width="9" bestFit="1" customWidth="1"/>
    <col min="3" max="3" width="15.77734375" customWidth="1"/>
    <col min="4" max="4" width="28.77734375" customWidth="1"/>
    <col min="5" max="5" width="29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45293</v>
      </c>
      <c r="B2">
        <v>120</v>
      </c>
    </row>
    <row r="3" spans="1:5" x14ac:dyDescent="0.3">
      <c r="A3" s="1">
        <v>45316</v>
      </c>
      <c r="B3">
        <v>200</v>
      </c>
    </row>
    <row r="4" spans="1:5" x14ac:dyDescent="0.3">
      <c r="A4" s="1">
        <v>45343</v>
      </c>
      <c r="B4">
        <v>250</v>
      </c>
    </row>
    <row r="5" spans="1:5" x14ac:dyDescent="0.3">
      <c r="A5" s="1">
        <v>45374</v>
      </c>
      <c r="B5">
        <v>220</v>
      </c>
    </row>
    <row r="6" spans="1:5" x14ac:dyDescent="0.3">
      <c r="A6" s="1">
        <v>45398</v>
      </c>
      <c r="B6">
        <v>310</v>
      </c>
    </row>
    <row r="7" spans="1:5" x14ac:dyDescent="0.3">
      <c r="A7" s="1">
        <v>45429</v>
      </c>
      <c r="B7">
        <v>350</v>
      </c>
      <c r="C7">
        <v>350</v>
      </c>
      <c r="D7" s="2">
        <v>350</v>
      </c>
      <c r="E7" s="2">
        <v>350</v>
      </c>
    </row>
    <row r="8" spans="1:5" x14ac:dyDescent="0.3">
      <c r="A8" s="1">
        <v>45453.777777777781</v>
      </c>
      <c r="C8">
        <f>_xlfn.FORECAST.ETS(A8,$B$2:$B$7,$A$2:$A$7,1,1)</f>
        <v>377.27128715530057</v>
      </c>
      <c r="D8" s="2">
        <f>C8-_xlfn.FORECAST.ETS.CONFINT(A8,$B$2:$B$7,$A$2:$A$7,0.95,1,1)</f>
        <v>317.67770948619608</v>
      </c>
      <c r="E8" s="2">
        <f>C8+_xlfn.FORECAST.ETS.CONFINT(A8,$B$2:$B$7,$A$2:$A$7,0.95,1,1)</f>
        <v>436.86486482440506</v>
      </c>
    </row>
    <row r="9" spans="1:5" x14ac:dyDescent="0.3">
      <c r="A9" s="1">
        <v>45478.555555555555</v>
      </c>
      <c r="C9">
        <f>_xlfn.FORECAST.ETS(A9,$B$2:$B$7,$A$2:$A$7,1,1)</f>
        <v>416.84118071802953</v>
      </c>
      <c r="D9" s="2">
        <f>C9-_xlfn.FORECAST.ETS.CONFINT(A9,$B$2:$B$7,$A$2:$A$7,0.95,1,1)</f>
        <v>355.39904611757385</v>
      </c>
      <c r="E9" s="2">
        <f>C9+_xlfn.FORECAST.ETS.CONFINT(A9,$B$2:$B$7,$A$2:$A$7,0.95,1,1)</f>
        <v>478.28331531848522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1F805-7C1A-45B3-8425-755F579A4B33}">
  <dimension ref="A1:B8"/>
  <sheetViews>
    <sheetView workbookViewId="0">
      <selection sqref="A1:B7"/>
    </sheetView>
  </sheetViews>
  <sheetFormatPr defaultRowHeight="14.4" x14ac:dyDescent="0.3"/>
  <cols>
    <col min="1" max="1" width="1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45293</v>
      </c>
      <c r="B2">
        <v>120</v>
      </c>
    </row>
    <row r="3" spans="1:2" x14ac:dyDescent="0.3">
      <c r="A3" s="1">
        <v>45316</v>
      </c>
      <c r="B3">
        <v>200</v>
      </c>
    </row>
    <row r="4" spans="1:2" x14ac:dyDescent="0.3">
      <c r="A4" s="1">
        <v>45343</v>
      </c>
      <c r="B4">
        <v>250</v>
      </c>
    </row>
    <row r="5" spans="1:2" x14ac:dyDescent="0.3">
      <c r="A5" s="1">
        <v>45374</v>
      </c>
      <c r="B5">
        <v>220</v>
      </c>
    </row>
    <row r="6" spans="1:2" x14ac:dyDescent="0.3">
      <c r="A6" s="1">
        <v>45398</v>
      </c>
      <c r="B6">
        <v>310</v>
      </c>
    </row>
    <row r="7" spans="1:2" x14ac:dyDescent="0.3">
      <c r="A7" s="1">
        <v>45429</v>
      </c>
      <c r="B7">
        <v>350</v>
      </c>
    </row>
    <row r="8" spans="1:2" x14ac:dyDescent="0.3">
      <c r="B8">
        <f>AVERAGE(B2:B7)</f>
        <v>241.66666666666666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T</dc:creator>
  <cp:lastModifiedBy>Pavithra T</cp:lastModifiedBy>
  <cp:lastPrinted>2026-10-02T04:50:16Z</cp:lastPrinted>
  <dcterms:created xsi:type="dcterms:W3CDTF">2026-10-02T04:34:29Z</dcterms:created>
  <dcterms:modified xsi:type="dcterms:W3CDTF">2026-10-02T05:18:30Z</dcterms:modified>
</cp:coreProperties>
</file>